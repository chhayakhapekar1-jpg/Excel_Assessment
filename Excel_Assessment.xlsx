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 Analytics\Assessment_1\"/>
    </mc:Choice>
  </mc:AlternateContent>
  <xr:revisionPtr revIDLastSave="0" documentId="8_{BCE04D84-35C0-49EE-B05C-4BF7C150B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3" l="1"/>
  <c r="I11" i="3"/>
  <c r="K10" i="3"/>
  <c r="I10" i="3"/>
  <c r="K9" i="3"/>
  <c r="I9" i="3"/>
  <c r="K8" i="3"/>
  <c r="I8" i="3"/>
  <c r="C9" i="3"/>
  <c r="C10" i="3"/>
  <c r="C11" i="3"/>
  <c r="C8" i="3"/>
  <c r="B9" i="3"/>
  <c r="D9" i="3" s="1"/>
  <c r="B10" i="3"/>
  <c r="D10" i="3" s="1"/>
  <c r="B11" i="3"/>
  <c r="D11" i="3" s="1"/>
  <c r="B8" i="3"/>
  <c r="D8" i="3" s="1"/>
  <c r="J5" i="1"/>
  <c r="J8" i="1"/>
  <c r="J9" i="1"/>
  <c r="J10" i="1"/>
  <c r="J11" i="1"/>
  <c r="J12" i="1"/>
  <c r="J3" i="1"/>
  <c r="I4" i="1"/>
  <c r="J4" i="1" s="1"/>
  <c r="I5" i="1"/>
  <c r="I6" i="1"/>
  <c r="J6" i="1" s="1"/>
  <c r="I7" i="1"/>
  <c r="J7" i="1" s="1"/>
  <c r="I8" i="1"/>
  <c r="I9" i="1"/>
  <c r="I10" i="1"/>
  <c r="I11" i="1"/>
  <c r="I12" i="1"/>
  <c r="I3" i="1"/>
  <c r="H12" i="1"/>
  <c r="H11" i="1"/>
  <c r="H10" i="1"/>
  <c r="H9" i="1"/>
  <c r="H8" i="1"/>
  <c r="H4" i="1"/>
  <c r="H5" i="1"/>
  <c r="H6" i="1"/>
  <c r="H7" i="1"/>
  <c r="H3" i="1"/>
  <c r="J14" i="1" l="1"/>
</calcChain>
</file>

<file path=xl/sharedStrings.xml><?xml version="1.0" encoding="utf-8"?>
<sst xmlns="http://schemas.openxmlformats.org/spreadsheetml/2006/main" count="97" uniqueCount="60">
  <si>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</si>
  <si>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</si>
  <si>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</si>
  <si>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</si>
  <si>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</si>
  <si>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</si>
  <si>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</si>
  <si>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</si>
  <si>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</si>
  <si>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</si>
  <si>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</si>
  <si>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</si>
  <si>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</si>
  <si>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</si>
  <si>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</si>
  <si>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</si>
  <si>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</si>
  <si>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</si>
  <si>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</si>
  <si>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</si>
  <si>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</si>
  <si>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</si>
  <si>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</si>
  <si>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</si>
  <si>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</si>
  <si>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</si>
  <si>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</si>
  <si>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</si>
  <si>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</si>
  <si>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</si>
  <si>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</si>
  <si>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</si>
  <si>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</si>
  <si>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</si>
  <si>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</si>
  <si>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</si>
  <si>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</si>
  <si>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</si>
  <si>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</si>
  <si>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</si>
  <si>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</si>
  <si>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</si>
  <si>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</si>
  <si>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</si>
  <si>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</si>
  <si>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</si>
  <si>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</si>
  <si>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#N/A</t>
  </si>
  <si>
    <t>Price_per_unit</t>
  </si>
  <si>
    <t>Total_sales_value</t>
  </si>
  <si>
    <t>Total Revenue</t>
  </si>
  <si>
    <t>Actual_Sales</t>
  </si>
  <si>
    <t>Target_Sales</t>
  </si>
  <si>
    <t>Performance vs Target</t>
  </si>
  <si>
    <t>Solution 1</t>
  </si>
  <si>
    <t>Solution 2</t>
  </si>
  <si>
    <t>Solution 3</t>
  </si>
  <si>
    <t>Total Sales (Formula)</t>
  </si>
  <si>
    <t>Target Revenue (₹10,00,000)</t>
  </si>
  <si>
    <t>Units Needed (Goal Seek 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</si>
</sst>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"/>
  <sheetViews>
    <sheetView tabSelected="1" workbookViewId="0">
      <selection activeCell="C27" sqref="C27"/>
    </sheetView>
  </sheetViews>
  <sheetFormatPr defaultColWidth="12.6640625" defaultRowHeight="15.75" customHeight="1" x14ac:dyDescent="0.25"/>
  <cols>
    <col min="10" max="10" width="16.44140625" bestFit="1" customWidth="1"/>
    <col min="11" max="11" width="12.6640625" hidden="1" customWidth="1"/>
  </cols>
  <sheetData>
    <row r="1" spans="1:11" ht="15.75" customHeight="1" x14ac:dyDescent="0.25">
      <c r="H1" s="9" t="s">
        <v>54</v>
      </c>
      <c r="I1" s="9"/>
      <c r="J1" s="9"/>
      <c r="K1" s="9"/>
    </row>
    <row r="2" spans="1:11" ht="13.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3" t="s">
        <v>35</v>
      </c>
      <c r="I2" s="3" t="s">
        <v>48</v>
      </c>
      <c r="J2" s="3" t="s">
        <v>49</v>
      </c>
    </row>
    <row r="3" spans="1:11" ht="13.2" x14ac:dyDescent="0.25">
      <c r="A3" s="2" t="s">
        <v>6</v>
      </c>
      <c r="B3" s="2" t="s">
        <v>7</v>
      </c>
      <c r="C3" s="2" t="s">
        <v>8</v>
      </c>
      <c r="D3" s="2" t="s">
        <v>9</v>
      </c>
      <c r="E3" s="2">
        <v>15</v>
      </c>
      <c r="F3" s="2">
        <v>45000</v>
      </c>
      <c r="H3" s="4" t="str">
        <f>VLOOKUP(D3,Product_Master!A1:D6,2,FALSE)</f>
        <v>Laptop</v>
      </c>
      <c r="I3" s="4">
        <f>VLOOKUP(D3,Product_Master!$A$2:$D$7,4,FALSE)</f>
        <v>3000</v>
      </c>
      <c r="J3" s="4">
        <f>E3*I3</f>
        <v>45000</v>
      </c>
    </row>
    <row r="4" spans="1:11" ht="13.2" x14ac:dyDescent="0.25">
      <c r="A4" s="2" t="s">
        <v>10</v>
      </c>
      <c r="B4" s="2" t="s">
        <v>11</v>
      </c>
      <c r="C4" s="2" t="s">
        <v>12</v>
      </c>
      <c r="D4" s="2" t="s">
        <v>13</v>
      </c>
      <c r="E4" s="2">
        <v>20</v>
      </c>
      <c r="F4" s="2">
        <v>60000</v>
      </c>
      <c r="H4" s="4" t="str">
        <f>VLOOKUP(D4,Product_Master!A2:D7,2,FALSE)</f>
        <v>Smartphone</v>
      </c>
      <c r="I4" s="4">
        <f>VLOOKUP(D4,Product_Master!$A$2:$D$7,4,FALSE)</f>
        <v>3000</v>
      </c>
      <c r="J4" s="4">
        <f t="shared" ref="J4:J12" si="0">E4*I4</f>
        <v>60000</v>
      </c>
    </row>
    <row r="5" spans="1:11" ht="13.2" x14ac:dyDescent="0.25">
      <c r="A5" s="2" t="s">
        <v>14</v>
      </c>
      <c r="B5" s="2" t="s">
        <v>15</v>
      </c>
      <c r="C5" s="2" t="s">
        <v>16</v>
      </c>
      <c r="D5" s="2" t="s">
        <v>17</v>
      </c>
      <c r="E5" s="2">
        <v>10</v>
      </c>
      <c r="F5" s="2">
        <v>35000</v>
      </c>
      <c r="H5" s="4" t="str">
        <f>VLOOKUP(D5,Product_Master!A3:D8,2,FALSE)</f>
        <v>Headphones</v>
      </c>
      <c r="I5" s="4">
        <f>VLOOKUP(D5,Product_Master!$A$2:$D$7,4,FALSE)</f>
        <v>3500</v>
      </c>
      <c r="J5" s="4">
        <f t="shared" si="0"/>
        <v>35000</v>
      </c>
    </row>
    <row r="6" spans="1:11" ht="13.2" x14ac:dyDescent="0.25">
      <c r="A6" s="2" t="s">
        <v>18</v>
      </c>
      <c r="B6" s="2" t="s">
        <v>19</v>
      </c>
      <c r="C6" s="2" t="s">
        <v>20</v>
      </c>
      <c r="D6" s="2" t="s">
        <v>21</v>
      </c>
      <c r="E6" s="2">
        <v>25</v>
      </c>
      <c r="F6" s="2">
        <v>125000</v>
      </c>
      <c r="H6" s="4" t="str">
        <f>VLOOKUP(D6,Product_Master!A4:D9,2,FALSE)</f>
        <v>Printer</v>
      </c>
      <c r="I6" s="4">
        <f>VLOOKUP(D6,Product_Master!$A$2:$D$7,4,FALSE)</f>
        <v>5000</v>
      </c>
      <c r="J6" s="4">
        <f t="shared" si="0"/>
        <v>125000</v>
      </c>
    </row>
    <row r="7" spans="1:11" ht="13.2" x14ac:dyDescent="0.25">
      <c r="A7" s="2" t="s">
        <v>22</v>
      </c>
      <c r="B7" s="2" t="s">
        <v>23</v>
      </c>
      <c r="C7" s="2" t="s">
        <v>8</v>
      </c>
      <c r="D7" s="2" t="s">
        <v>24</v>
      </c>
      <c r="E7" s="2">
        <v>12</v>
      </c>
      <c r="F7" s="2">
        <v>48000</v>
      </c>
      <c r="H7" s="4" t="str">
        <f>VLOOKUP(D7,Product_Master!A5:D10,2,FALSE)</f>
        <v>Monitor</v>
      </c>
      <c r="I7" s="4">
        <f>VLOOKUP(D7,Product_Master!$A$2:$D$7,4,FALSE)</f>
        <v>4000</v>
      </c>
      <c r="J7" s="4">
        <f t="shared" si="0"/>
        <v>48000</v>
      </c>
    </row>
    <row r="8" spans="1:11" ht="13.2" x14ac:dyDescent="0.25">
      <c r="A8" s="2" t="s">
        <v>25</v>
      </c>
      <c r="B8" s="2" t="s">
        <v>26</v>
      </c>
      <c r="C8" s="2" t="s">
        <v>16</v>
      </c>
      <c r="D8" s="2" t="s">
        <v>13</v>
      </c>
      <c r="E8" s="2">
        <v>18</v>
      </c>
      <c r="F8" s="2">
        <v>54000</v>
      </c>
      <c r="H8" s="4" t="str">
        <f>VLOOKUP(D8,Product_Master!A1:D6,2,FALSE)</f>
        <v>Smartphone</v>
      </c>
      <c r="I8" s="4">
        <f>VLOOKUP(D8,Product_Master!$A$2:$D$7,4,FALSE)</f>
        <v>3000</v>
      </c>
      <c r="J8" s="4">
        <f t="shared" si="0"/>
        <v>54000</v>
      </c>
    </row>
    <row r="9" spans="1:11" ht="13.2" x14ac:dyDescent="0.25">
      <c r="A9" s="2" t="s">
        <v>27</v>
      </c>
      <c r="B9" s="2" t="s">
        <v>28</v>
      </c>
      <c r="C9" s="2" t="s">
        <v>12</v>
      </c>
      <c r="D9" s="2" t="s">
        <v>17</v>
      </c>
      <c r="E9" s="2">
        <v>22</v>
      </c>
      <c r="F9" s="2">
        <v>77000</v>
      </c>
      <c r="H9" s="4" t="str">
        <f>VLOOKUP(D9,Product_Master!A1:D6,2,FALSE)</f>
        <v>Headphones</v>
      </c>
      <c r="I9" s="4">
        <f>VLOOKUP(D9,Product_Master!$A$2:$D$7,4,FALSE)</f>
        <v>3500</v>
      </c>
      <c r="J9" s="4">
        <f t="shared" si="0"/>
        <v>77000</v>
      </c>
    </row>
    <row r="10" spans="1:11" ht="13.2" x14ac:dyDescent="0.25">
      <c r="A10" s="2" t="s">
        <v>29</v>
      </c>
      <c r="B10" s="2" t="s">
        <v>30</v>
      </c>
      <c r="C10" s="2" t="s">
        <v>20</v>
      </c>
      <c r="D10" s="2" t="s">
        <v>9</v>
      </c>
      <c r="E10" s="2">
        <v>30</v>
      </c>
      <c r="F10" s="2">
        <v>90000</v>
      </c>
      <c r="H10" s="4" t="str">
        <f>VLOOKUP(D10,Product_Master!A1:D6,2,FALSE)</f>
        <v>Laptop</v>
      </c>
      <c r="I10" s="4">
        <f>VLOOKUP(D10,Product_Master!$A$2:$D$7,4,FALSE)</f>
        <v>3000</v>
      </c>
      <c r="J10" s="4">
        <f t="shared" si="0"/>
        <v>90000</v>
      </c>
    </row>
    <row r="11" spans="1:11" ht="13.2" x14ac:dyDescent="0.25">
      <c r="A11" s="2" t="s">
        <v>31</v>
      </c>
      <c r="B11" s="2" t="s">
        <v>32</v>
      </c>
      <c r="C11" s="2" t="s">
        <v>8</v>
      </c>
      <c r="D11" s="2" t="s">
        <v>21</v>
      </c>
      <c r="E11" s="2">
        <v>14</v>
      </c>
      <c r="F11" s="2">
        <v>70000</v>
      </c>
      <c r="H11" s="4" t="str">
        <f>VLOOKUP(D11,Product_Master!A1:D6,2,FALSE)</f>
        <v>Printer</v>
      </c>
      <c r="I11" s="4">
        <f>VLOOKUP(D11,Product_Master!$A$2:$D$7,4,FALSE)</f>
        <v>5000</v>
      </c>
      <c r="J11" s="4">
        <f t="shared" si="0"/>
        <v>70000</v>
      </c>
    </row>
    <row r="12" spans="1:11" ht="13.2" x14ac:dyDescent="0.25">
      <c r="A12" s="2" t="s">
        <v>33</v>
      </c>
      <c r="B12" s="2" t="s">
        <v>34</v>
      </c>
      <c r="C12" s="2" t="s">
        <v>16</v>
      </c>
      <c r="D12" s="2" t="s">
        <v>24</v>
      </c>
      <c r="E12" s="2">
        <v>8</v>
      </c>
      <c r="F12" s="2">
        <v>32000</v>
      </c>
      <c r="H12" s="4" t="str">
        <f>VLOOKUP(D12,Product_Master!A1:D6,2,FALSE)</f>
        <v>Monitor</v>
      </c>
      <c r="I12" s="4">
        <f>VLOOKUP(D12,Product_Master!$A$2:$D$7,4,FALSE)</f>
        <v>4000</v>
      </c>
      <c r="J12" s="4">
        <f t="shared" si="0"/>
        <v>32000</v>
      </c>
    </row>
    <row r="14" spans="1:11" ht="15.75" customHeight="1" x14ac:dyDescent="0.25">
      <c r="I14" s="5" t="s">
        <v>50</v>
      </c>
      <c r="J14" s="4">
        <f>SUM(J3:J12)</f>
        <v>636000</v>
      </c>
    </row>
  </sheetData>
  <mergeCells count="1"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"/>
  <sheetViews>
    <sheetView workbookViewId="0">
      <selection activeCell="D11" sqref="D11"/>
    </sheetView>
  </sheetViews>
  <sheetFormatPr defaultColWidth="12.6640625" defaultRowHeight="15.75" customHeight="1" x14ac:dyDescent="0.25"/>
  <sheetData>
    <row r="1" spans="1:4" x14ac:dyDescent="0.25">
      <c r="A1" s="1" t="s">
        <v>3</v>
      </c>
      <c r="B1" s="1" t="s">
        <v>35</v>
      </c>
      <c r="C1" s="1" t="s">
        <v>36</v>
      </c>
      <c r="D1" s="1" t="s">
        <v>37</v>
      </c>
    </row>
    <row r="2" spans="1:4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4" x14ac:dyDescent="0.25">
      <c r="A3" s="2" t="s">
        <v>13</v>
      </c>
      <c r="B3" s="2" t="s">
        <v>40</v>
      </c>
      <c r="C3" s="2" t="s">
        <v>39</v>
      </c>
      <c r="D3" s="2">
        <v>3000</v>
      </c>
    </row>
    <row r="4" spans="1:4" x14ac:dyDescent="0.25">
      <c r="A4" s="2" t="s">
        <v>17</v>
      </c>
      <c r="B4" s="2" t="s">
        <v>41</v>
      </c>
      <c r="C4" s="2" t="s">
        <v>42</v>
      </c>
      <c r="D4" s="2">
        <v>3500</v>
      </c>
    </row>
    <row r="5" spans="1:4" x14ac:dyDescent="0.25">
      <c r="A5" s="2" t="s">
        <v>21</v>
      </c>
      <c r="B5" s="2" t="s">
        <v>43</v>
      </c>
      <c r="C5" s="2" t="s">
        <v>44</v>
      </c>
      <c r="D5" s="2">
        <v>5000</v>
      </c>
    </row>
    <row r="6" spans="1:4" x14ac:dyDescent="0.25">
      <c r="A6" s="2" t="s">
        <v>24</v>
      </c>
      <c r="B6" s="2" t="s">
        <v>45</v>
      </c>
      <c r="C6" s="2" t="s">
        <v>39</v>
      </c>
      <c r="D6" s="2">
        <v>4000</v>
      </c>
    </row>
    <row r="8" spans="1:4" x14ac:dyDescent="0.25">
      <c r="C8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1"/>
  <sheetViews>
    <sheetView workbookViewId="0">
      <selection activeCell="I17" sqref="I17"/>
    </sheetView>
  </sheetViews>
  <sheetFormatPr defaultColWidth="12.6640625" defaultRowHeight="15.75" customHeight="1" x14ac:dyDescent="0.25"/>
  <cols>
    <col min="4" max="4" width="21.109375" bestFit="1" customWidth="1"/>
    <col min="8" max="8" width="10" bestFit="1" customWidth="1"/>
    <col min="9" max="9" width="19.77734375" bestFit="1" customWidth="1"/>
    <col min="10" max="10" width="26.21875" bestFit="1" customWidth="1"/>
    <col min="11" max="11" width="31.5546875" bestFit="1" customWidth="1"/>
    <col min="12" max="12" width="7.77734375" customWidth="1"/>
  </cols>
  <sheetData>
    <row r="1" spans="1:12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12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  <row r="6" spans="1:12" ht="15.75" customHeight="1" x14ac:dyDescent="0.25">
      <c r="A6" s="9" t="s">
        <v>55</v>
      </c>
      <c r="B6" s="9"/>
      <c r="C6" s="9"/>
      <c r="D6" s="9"/>
      <c r="E6" s="1"/>
      <c r="F6" s="10" t="s">
        <v>56</v>
      </c>
      <c r="G6" s="11"/>
      <c r="H6" s="11"/>
      <c r="I6" s="11"/>
      <c r="J6" s="11"/>
      <c r="K6" s="11"/>
      <c r="L6" s="11"/>
    </row>
    <row r="7" spans="1:12" ht="15.75" customHeight="1" x14ac:dyDescent="0.25">
      <c r="A7" s="6" t="s">
        <v>2</v>
      </c>
      <c r="B7" s="7" t="s">
        <v>51</v>
      </c>
      <c r="C7" s="7" t="s">
        <v>52</v>
      </c>
      <c r="D7" s="7" t="s">
        <v>53</v>
      </c>
      <c r="F7" s="6" t="s">
        <v>2</v>
      </c>
      <c r="G7" s="7" t="s">
        <v>37</v>
      </c>
      <c r="H7" s="7" t="s">
        <v>4</v>
      </c>
      <c r="I7" s="7" t="s">
        <v>57</v>
      </c>
      <c r="J7" s="7" t="s">
        <v>58</v>
      </c>
      <c r="K7" s="7" t="s">
        <v>59</v>
      </c>
    </row>
    <row r="8" spans="1:12" ht="15.75" customHeight="1" x14ac:dyDescent="0.25">
      <c r="A8" s="6" t="s">
        <v>8</v>
      </c>
      <c r="B8" s="8">
        <f>SUMIF(Sales_Data!C3:C12,'Monthly Target'!A8,Sales_Data!F3:F12)</f>
        <v>163000</v>
      </c>
      <c r="C8" s="8">
        <f>HLOOKUP(A8,$A$1:$E$2,2,FALSE)</f>
        <v>150000</v>
      </c>
      <c r="D8" s="8">
        <f>B8-C8</f>
        <v>13000</v>
      </c>
      <c r="F8" s="6" t="s">
        <v>8</v>
      </c>
      <c r="G8" s="8">
        <v>3000</v>
      </c>
      <c r="H8" s="8">
        <v>250</v>
      </c>
      <c r="I8" s="8">
        <f>G8*H8</f>
        <v>750000</v>
      </c>
      <c r="J8" s="8">
        <v>1000000</v>
      </c>
      <c r="K8" s="8">
        <f>J8/G8</f>
        <v>333.33333333333331</v>
      </c>
    </row>
    <row r="9" spans="1:12" ht="15.75" customHeight="1" x14ac:dyDescent="0.25">
      <c r="A9" s="6" t="s">
        <v>12</v>
      </c>
      <c r="B9" s="8">
        <f>SUMIF(Sales_Data!C4:C13,'Monthly Target'!A9,Sales_Data!F4:F13)</f>
        <v>137000</v>
      </c>
      <c r="C9" s="8">
        <f t="shared" ref="C9:C11" si="0">HLOOKUP(A9,$A$1:$E$2,2,FALSE)</f>
        <v>140000</v>
      </c>
      <c r="D9" s="8">
        <f t="shared" ref="D9:D11" si="1">B9-C9</f>
        <v>-3000</v>
      </c>
      <c r="F9" s="6" t="s">
        <v>12</v>
      </c>
      <c r="G9" s="8">
        <v>2800</v>
      </c>
      <c r="H9" s="8">
        <v>200</v>
      </c>
      <c r="I9" s="8">
        <f>G9*H9</f>
        <v>560000</v>
      </c>
      <c r="J9" s="8">
        <v>1000000</v>
      </c>
      <c r="K9" s="8">
        <f>J9/G9</f>
        <v>357.14285714285717</v>
      </c>
    </row>
    <row r="10" spans="1:12" ht="15.75" customHeight="1" x14ac:dyDescent="0.25">
      <c r="A10" s="6" t="s">
        <v>16</v>
      </c>
      <c r="B10" s="8">
        <f>SUMIF(Sales_Data!C5:C14,'Monthly Target'!A10,Sales_Data!F5:F14)</f>
        <v>121000</v>
      </c>
      <c r="C10" s="8">
        <f t="shared" si="0"/>
        <v>120000</v>
      </c>
      <c r="D10" s="8">
        <f t="shared" si="1"/>
        <v>1000</v>
      </c>
      <c r="F10" s="6" t="s">
        <v>16</v>
      </c>
      <c r="G10" s="8">
        <v>3500</v>
      </c>
      <c r="H10" s="8">
        <v>180</v>
      </c>
      <c r="I10" s="8">
        <f>G10*H10</f>
        <v>630000</v>
      </c>
      <c r="J10" s="8">
        <v>1000000</v>
      </c>
      <c r="K10" s="8">
        <f>J10/G10</f>
        <v>285.71428571428572</v>
      </c>
    </row>
    <row r="11" spans="1:12" ht="15.75" customHeight="1" x14ac:dyDescent="0.25">
      <c r="A11" s="6" t="s">
        <v>20</v>
      </c>
      <c r="B11" s="8">
        <f>SUMIF(Sales_Data!C6:C15,'Monthly Target'!A11,Sales_Data!F6:F15)</f>
        <v>215000</v>
      </c>
      <c r="C11" s="8">
        <f t="shared" si="0"/>
        <v>160000</v>
      </c>
      <c r="D11" s="8">
        <f t="shared" si="1"/>
        <v>55000</v>
      </c>
      <c r="F11" s="6" t="s">
        <v>20</v>
      </c>
      <c r="G11" s="8">
        <v>4000</v>
      </c>
      <c r="H11" s="8">
        <v>220</v>
      </c>
      <c r="I11" s="8">
        <f>G11*H11</f>
        <v>880000</v>
      </c>
      <c r="J11" s="8">
        <v>1000000</v>
      </c>
      <c r="K11" s="8">
        <f>J11/G11</f>
        <v>250</v>
      </c>
    </row>
  </sheetData>
  <mergeCells count="2">
    <mergeCell ref="A6:D6"/>
    <mergeCell ref="F6:L6"/>
  </mergeCells>
  <phoneticPr fontId="5" type="noConversion"/>
  <conditionalFormatting sqref="I8:I11">
    <cfRule type="cellIs" dxfId="0" priority="1" operator="lessThan">
      <formula>J8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CHHAYA</dc:creator>
  <cp:lastModifiedBy>Chhaya khapekar</cp:lastModifiedBy>
  <dcterms:created xsi:type="dcterms:W3CDTF">2025-11-02T07:23:06Z</dcterms:created>
  <dcterms:modified xsi:type="dcterms:W3CDTF">2025-11-02T07:23:06Z</dcterms:modified>
</cp:coreProperties>
</file>